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67ef79652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两天分工" sheetId="1" r:id="Raaa12e7d8b37480b"/>
    <x:sheet xmlns:r="http://schemas.openxmlformats.org/officeDocument/2006/relationships" name="MP4分镜" sheetId="2" r:id="R2a114b37bf02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-dd hh:mm"/>
  </x:numFmts>
  <x:fonts count="5">
    <x:font>
      <x:sz val="11"/>
      <x:name val="Carlito"/>
    </x:font>
    <x:font>
      <x:sz val="11"/>
      <x:color rgb="FF352F35"/>
      <x:name val="Arial"/>
    </x:font>
    <x:font>
      <x:b/>
      <x:sz val="16"/>
      <x:color rgb="FF74586C"/>
      <x:name val="Arial"/>
    </x:font>
    <x:font>
      <x:sz val="11"/>
      <x:color rgb="FF706A7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4586C"/>
      </x:patternFill>
    </x:fill>
    <x:fill>
      <x:patternFill patternType="solid">
        <x:fgColor rgb="FFF7F4EF"/>
      </x:patternFill>
    </x:fill>
    <x:fill>
      <x:patternFill patternType="solid">
        <x:fgColor rgb="FFFFF0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BAEB8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b/>
        <x:color rgb="FF872F21"/>
      </x:font>
      <x:fill>
        <x:patternFill patternType="solid">
          <x:bgColor rgb="FFF1D5CB"/>
        </x:patternFill>
      </x:fill>
    </x:dxf>
    <x:dxf>
      <x:font>
        <x:color rgb="FF3F5E43"/>
      </x:font>
      <x:fill>
        <x:patternFill patternType="solid">
          <x:bgColor rgb="FFDDE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8181d3d9d4160" /><Relationship Type="http://schemas.openxmlformats.org/officeDocument/2006/relationships/theme" Target="/xl/theme/theme1.xml" Id="R8de01d74bb4a4b10" /><Relationship Type="http://schemas.openxmlformats.org/officeDocument/2006/relationships/sharedStrings" Target="/xl/sharedStrings.xml" Id="R2ff408bd9d5b4355" /><Relationship Type="http://schemas.openxmlformats.org/officeDocument/2006/relationships/worksheet" Target="/xl/worksheets/sheet1.xml" Id="Raaa12e7d8b37480b" /><Relationship Type="http://schemas.openxmlformats.org/officeDocument/2006/relationships/worksheet" Target="/xl/worksheets/sheet2.xml" Id="R2a114b37bf0249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586C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6.880000114440918" hidden="0" customWidth="1"/>
    <x:col min="2" max="2" width="15.630000114440918" hidden="0" customWidth="1"/>
    <x:col min="3" max="3" width="11.880000114440918" hidden="0" customWidth="1"/>
    <x:col min="4" max="4" width="15.630000114440918" hidden="0" customWidth="1"/>
    <x:col min="5" max="5" width="28.75" hidden="0" customWidth="1"/>
    <x:col min="6" max="6" width="53.75" hidden="0" customWidth="1"/>
    <x:col min="7" max="7" width="22.5" hidden="0" customWidth="1"/>
    <x:col min="8" max="8" width="11.5" hidden="0" customWidth="1"/>
    <x:col min="9" max="9" width="21.25" hidden="0" customWidth="1"/>
    <x:col min="10" max="10" width="9.38000011444091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两天冲刺分工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8" customHeight="1">
      <x:c r="A3" s="2" t="str">
        <x:v>10月14–15日，北京时间。先抢通本地使用，再验收、录片和提交。实际截止与MP4规格须在今天12:30前确认。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2" t="str">
        <x:v>今天15:00：非作者完成一次输入→结果→出处→导出。今天20:00：修复合入唯一候选版本。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2" t="str">
        <x:v>明天11:30：验收出数。14:30：视频初稿。16:30：最终MP4。17:30：内部交付收口，实际截止前预留2小时。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30" customHeight="1">
      <x:c r="A7" s="5" t="str">
        <x:v>状态请负责人更新；“已验收”必须同时填写证据。当前均为待认领，不代表已通知成员。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30" customHeight="1">
      <x:c r="A8" s="2"/>
      <x:c r="B8" s="2"/>
      <x:c r="C8" s="2"/>
      <x:c r="D8" s="2"/>
      <x:c r="E8" s="2" t="str">
        <x:v>已验收且有证据</x:v>
      </x:c>
      <x:c r="F8" s="19" t="n">
        <x:f>SUM(J10:J34)</x:f>
        <x:v>0</x:v>
      </x:c>
      <x:c r="G8" s="2" t="str">
        <x:v>受阻任务</x:v>
      </x:c>
      <x:c r="H8" s="11" t="n">
        <x:f>COUNTIFS(H10:H34,"受阻")</x:f>
        <x:v>0</x:v>
      </x:c>
      <x:c r="I8" s="2"/>
      <x:c r="J8" s="2"/>
    </x:row>
    <x:row r="9" ht="30" customHeight="1">
      <x:c r="A9" s="8" t="str">
        <x:v>编号</x:v>
      </x:c>
      <x:c r="B9" s="8" t="str">
        <x:v>截止（北京时间）</x:v>
      </x:c>
      <x:c r="C9" s="8" t="str">
        <x:v>唯一主责</x:v>
      </x:c>
      <x:c r="D9" s="8" t="str">
        <x:v>配合</x:v>
      </x:c>
      <x:c r="E9" s="8" t="str">
        <x:v>任务</x:v>
      </x:c>
      <x:c r="F9" s="8" t="str">
        <x:v>交付与关闭条件</x:v>
      </x:c>
      <x:c r="G9" s="8" t="str">
        <x:v>前置任务</x:v>
      </x:c>
      <x:c r="H9" s="8" t="str">
        <x:v>状态</x:v>
      </x:c>
      <x:c r="I9" s="8" t="str">
        <x:v>提交SHA／证据</x:v>
      </x:c>
      <x:c r="J9" s="8" t="str">
        <x:v>验收计数</x:v>
      </x:c>
    </x:row>
    <x:row r="10" ht="72" customHeight="1">
      <x:c r="A10" s="12" t="str">
        <x:v>K0</x:v>
      </x:c>
      <x:c r="B10" s="13" t="n">
        <x:v>46309.520833333336</x:v>
      </x:c>
      <x:c r="C10" s="14" t="str">
        <x:v>魏文宇</x:v>
      </x:c>
      <x:c r="D10" s="12" t="str">
        <x:v>陈家浩</x:v>
      </x:c>
      <x:c r="E10" s="12" t="str">
        <x:v>固定演示机、版本与截止要求</x:v>
      </x:c>
      <x:c r="F10" s="12" t="str">
        <x:v>确认实际提交截止、MP4时长/大小/命名、模型账号可用；收集同事失败操作与报错。</x:v>
      </x:c>
      <x:c r="G10" s="12" t="str">
        <x:v>无</x:v>
      </x:c>
      <x:c r="H10" s="18" t="str">
        <x:v>待认领</x:v>
      </x:c>
      <x:c r="I10" s="18" t="str"/>
      <x:c r="J10" s="12" t="n">
        <x:f>IF(AND(H10="已验收",LEN(I10)&gt;0),1,0)</x:f>
        <x:v>0</x:v>
      </x:c>
    </x:row>
    <x:row r="11" ht="72" customHeight="1">
      <x:c r="A11" s="15" t="str">
        <x:v>Z1</x:v>
      </x:c>
      <x:c r="B11" s="16" t="n">
        <x:v>46309.583333333336</x:v>
      </x:c>
      <x:c r="C11" s="17" t="str">
        <x:v>张智博</x:v>
      </x:c>
      <x:c r="D11" s="15" t="str">
        <x:v>陈、魏</x:v>
      </x:c>
      <x:c r="E11" s="15" t="str">
        <x:v>复现本地不能正常使用</x:v>
      </x:c>
      <x:c r="F11" s="15" t="str">
        <x:v>在同事机器定位环境/路径/输入格式问题；给出失败步骤、日志及修复定位。</x:v>
      </x:c>
      <x:c r="G11" s="15" t="str">
        <x:v>K0</x:v>
      </x:c>
      <x:c r="H11" s="18" t="str">
        <x:v>待认领</x:v>
      </x:c>
      <x:c r="I11" s="18" t="str"/>
      <x:c r="J11" s="15" t="n">
        <x:f>IF(AND(H11="已验收",LEN(I11)&gt;0),1,0)</x:f>
        <x:v>0</x:v>
      </x:c>
    </x:row>
    <x:row r="12" ht="72" customHeight="1">
      <x:c r="A12" s="12" t="str">
        <x:v>W1</x:v>
      </x:c>
      <x:c r="B12" s="13" t="n">
        <x:v>46309.625</x:v>
      </x:c>
      <x:c r="C12" s="14" t="str">
        <x:v>魏文宇</x:v>
      </x:c>
      <x:c r="D12" s="12" t="str">
        <x:v>张智博</x:v>
      </x:c>
      <x:c r="E12" s="12" t="str">
        <x:v>修抽取接口写入越界</x:v>
      </x:c>
      <x:c r="F12" s="12" t="str">
        <x:v>文件名不能逃出临时目录；显式仅本机监听；正常文本/parse输入仍通过。</x:v>
      </x:c>
      <x:c r="G12" s="12" t="str">
        <x:v>K0</x:v>
      </x:c>
      <x:c r="H12" s="18" t="str">
        <x:v>待认领</x:v>
      </x:c>
      <x:c r="I12" s="18" t="str"/>
      <x:c r="J12" s="12" t="n">
        <x:f>IF(AND(H12="已验收",LEN(I12)&gt;0),1,0)</x:f>
        <x:v>0</x:v>
      </x:c>
    </x:row>
    <x:row r="13" ht="72" customHeight="1">
      <x:c r="A13" s="15" t="str">
        <x:v>C1</x:v>
      </x:c>
      <x:c r="B13" s="16" t="n">
        <x:v>46309.625</x:v>
      </x:c>
      <x:c r="C13" s="17" t="str">
        <x:v>陈家浩</x:v>
      </x:c>
      <x:c r="D13" s="15" t="str">
        <x:v>魏、张</x:v>
      </x:c>
      <x:c r="E13" s="15" t="str">
        <x:v>抢通一次真实操作流程</x:v>
      </x:c>
      <x:c r="F13" s="15" t="str">
        <x:v>打开页面，处理1份真实公告，查看字段、定位出处、导出；重新启动仍可用。PDF经脚本处理时须说明。</x:v>
      </x:c>
      <x:c r="G13" s="15" t="str">
        <x:v>Z1、W1</x:v>
      </x:c>
      <x:c r="H13" s="18" t="str">
        <x:v>待认领</x:v>
      </x:c>
      <x:c r="I13" s="18" t="str"/>
      <x:c r="J13" s="15" t="n">
        <x:f>IF(AND(H13="已验收",LEN(I13)&gt;0),1,0)</x:f>
        <x:v>0</x:v>
      </x:c>
    </x:row>
    <x:row r="14" ht="72" customHeight="1">
      <x:c r="A14" s="12" t="str">
        <x:v>R1</x:v>
      </x:c>
      <x:c r="B14" s="13" t="n">
        <x:v>46309.666666666664</x:v>
      </x:c>
      <x:c r="C14" s="14" t="str">
        <x:v>宗博文</x:v>
      </x:c>
      <x:c r="D14" s="12" t="str">
        <x:v>方轩诚</x:v>
      </x:c>
      <x:c r="E14" s="12" t="str">
        <x:v>修评分器与成绩百分比</x:v>
      </x:c>
      <x:c r="F14" s="12" t="str">
        <x:v>虚构块/错引文/错计算必须FAIL；436/437显示99.77%；性能数值取原始记录。</x:v>
      </x:c>
      <x:c r="G14" s="12" t="str">
        <x:v>无</x:v>
      </x:c>
      <x:c r="H14" s="18" t="str">
        <x:v>待认领</x:v>
      </x:c>
      <x:c r="I14" s="18" t="str"/>
      <x:c r="J14" s="12" t="n">
        <x:f>IF(AND(H14="已验收",LEN(I14)&gt;0),1,0)</x:f>
        <x:v>0</x:v>
      </x:c>
    </x:row>
    <x:row r="15" ht="72" customHeight="1">
      <x:c r="A15" s="15" t="str">
        <x:v>F1</x:v>
      </x:c>
      <x:c r="B15" s="16" t="n">
        <x:v>46309.666666666664</x:v>
      </x:c>
      <x:c r="C15" s="17" t="str">
        <x:v>方轩诚</x:v>
      </x:c>
      <x:c r="D15" s="15" t="str">
        <x:v>魏文宇</x:v>
      </x:c>
      <x:c r="E15" s="15" t="str">
        <x:v>交付归因规则与接入样例</x:v>
      </x:c>
      <x:c r="F15" s="15" t="str">
        <x:v>明确精确差异不猜舍入；24条边界、18条算术、计算记录和正式入口参数交魏。</x:v>
      </x:c>
      <x:c r="G15" s="15" t="str">
        <x:v>无</x:v>
      </x:c>
      <x:c r="H15" s="18" t="str">
        <x:v>待认领</x:v>
      </x:c>
      <x:c r="I15" s="18" t="str"/>
      <x:c r="J15" s="15" t="n">
        <x:f>IF(AND(H15="已验收",LEN(I15)&gt;0),1,0)</x:f>
        <x:v>0</x:v>
      </x:c>
    </x:row>
    <x:row r="16" ht="72" customHeight="1">
      <x:c r="A16" s="12" t="str">
        <x:v>Z2</x:v>
      </x:c>
      <x:c r="B16" s="13" t="n">
        <x:v>46309.708333333336</x:v>
      </x:c>
      <x:c r="C16" s="14" t="str">
        <x:v>张智博</x:v>
      </x:c>
      <x:c r="D16" s="12" t="str">
        <x:v>魏文宇</x:v>
      </x:c>
      <x:c r="E16" s="12" t="str">
        <x:v>固定解析版本与复现步骤</x:v>
      </x:c>
      <x:c r="F16" s="12" t="str">
        <x:v>交PDF/parse/源码SHA对应表、依赖和启动自检；补可获取夹具，仍跳过的逐项说明。</x:v>
      </x:c>
      <x:c r="G16" s="12" t="str">
        <x:v>Z1</x:v>
      </x:c>
      <x:c r="H16" s="18" t="str">
        <x:v>待认领</x:v>
      </x:c>
      <x:c r="I16" s="18" t="str"/>
      <x:c r="J16" s="12" t="n">
        <x:f>IF(AND(H16="已验收",LEN(I16)&gt;0),1,0)</x:f>
        <x:v>0</x:v>
      </x:c>
    </x:row>
    <x:row r="17" ht="72" customHeight="1">
      <x:c r="A17" s="15" t="str">
        <x:v>W2</x:v>
      </x:c>
      <x:c r="B17" s="16" t="n">
        <x:v>46309.729166666664</x:v>
      </x:c>
      <x:c r="C17" s="17" t="str">
        <x:v>魏文宇</x:v>
      </x:c>
      <x:c r="D17" s="15" t="str">
        <x:v>陈家浩</x:v>
      </x:c>
      <x:c r="E17" s="15" t="str">
        <x:v>修扫描覆盖和N09同步阻塞</x:v>
      </x:c>
      <x:c r="F17" s="15" t="str">
        <x:v>20个扫描任务输入数=独立结果数；抽取期间health仍响应；并发受限且失败单列。</x:v>
      </x:c>
      <x:c r="G17" s="15" t="str">
        <x:v>W1</x:v>
      </x:c>
      <x:c r="H17" s="18" t="str">
        <x:v>待认领</x:v>
      </x:c>
      <x:c r="I17" s="18" t="str"/>
      <x:c r="J17" s="15" t="n">
        <x:f>IF(AND(H17="已验收",LEN(I17)&gt;0),1,0)</x:f>
        <x:v>0</x:v>
      </x:c>
    </x:row>
    <x:row r="18" ht="72" customHeight="1">
      <x:c r="A18" s="12" t="str">
        <x:v>C2</x:v>
      </x:c>
      <x:c r="B18" s="13" t="n">
        <x:v>46309.729166666664</x:v>
      </x:c>
      <x:c r="C18" s="14" t="str">
        <x:v>陈家浩</x:v>
      </x:c>
      <x:c r="D18" s="12" t="str">
        <x:v>魏文宇</x:v>
      </x:c>
      <x:c r="E18" s="12" t="str">
        <x:v>修页面异常与抽取桥接</x:v>
      </x:c>
      <x:c r="F18" s="12" t="str">
        <x:v>畸形URL返回400且服务存活；等待/失败可见，修CLI桥接阻塞；提供清楚的启动入口。</x:v>
      </x:c>
      <x:c r="G18" s="12" t="str">
        <x:v>C1</x:v>
      </x:c>
      <x:c r="H18" s="18" t="str">
        <x:v>待认领</x:v>
      </x:c>
      <x:c r="I18" s="18" t="str"/>
      <x:c r="J18" s="12" t="n">
        <x:f>IF(AND(H18="已验收",LEN(I18)&gt;0),1,0)</x:f>
        <x:v>0</x:v>
      </x:c>
    </x:row>
    <x:row r="19" ht="72" customHeight="1">
      <x:c r="A19" s="15" t="str">
        <x:v>W3</x:v>
      </x:c>
      <x:c r="B19" s="16" t="n">
        <x:v>46309.75</x:v>
      </x:c>
      <x:c r="C19" s="17" t="str">
        <x:v>魏文宇</x:v>
      </x:c>
      <x:c r="D19" s="15" t="str">
        <x:v>方轩诚</x:v>
      </x:c>
      <x:c r="E19" s="15" t="str">
        <x:v>统一正式归因入口</x:v>
      </x:c>
      <x:c r="F19" s="15" t="str">
        <x:v>真实运行入口保留精确差异；明确舍入正例仍通过；computed及出处不在桥接中丢失。</x:v>
      </x:c>
      <x:c r="G19" s="15" t="str">
        <x:v>F1、W2</x:v>
      </x:c>
      <x:c r="H19" s="18" t="str">
        <x:v>待认领</x:v>
      </x:c>
      <x:c r="I19" s="18" t="str"/>
      <x:c r="J19" s="15" t="n">
        <x:f>IF(AND(H19="已验收",LEN(I19)&gt;0),1,0)</x:f>
        <x:v>0</x:v>
      </x:c>
    </x:row>
    <x:row r="20" ht="72" customHeight="1">
      <x:c r="A20" s="12" t="str">
        <x:v>R2</x:v>
      </x:c>
      <x:c r="B20" s="13" t="n">
        <x:v>46309.75</x:v>
      </x:c>
      <x:c r="C20" s="14" t="str">
        <x:v>宗博文</x:v>
      </x:c>
      <x:c r="D20" s="12" t="str">
        <x:v>张供公开源链接</x:v>
      </x:c>
      <x:c r="E20" s="12" t="str">
        <x:v>锁定独立验收输入与口径</x:v>
      </x:c>
      <x:c r="F20" s="12" t="str">
        <x:v>核清30份单文档+20组跨文档是否独立；另定10份冷跑、3份真实20页PDF及矛盾正例分母。</x:v>
      </x:c>
      <x:c r="G20" s="12" t="str">
        <x:v>K0；开发不接触封存答案</x:v>
      </x:c>
      <x:c r="H20" s="18" t="str">
        <x:v>待认领</x:v>
      </x:c>
      <x:c r="I20" s="18" t="str"/>
      <x:c r="J20" s="12" t="n">
        <x:f>IF(AND(H20="已验收",LEN(I20)&gt;0),1,0)</x:f>
        <x:v>0</x:v>
      </x:c>
    </x:row>
    <x:row r="21" ht="72" customHeight="1">
      <x:c r="A21" s="15" t="str">
        <x:v>Z3</x:v>
      </x:c>
      <x:c r="B21" s="16" t="n">
        <x:v>46309.75</x:v>
      </x:c>
      <x:c r="C21" s="17" t="str">
        <x:v>张智博</x:v>
      </x:c>
      <x:c r="D21" s="15" t="str">
        <x:v>宗博文</x:v>
      </x:c>
      <x:c r="E21" s="15" t="str">
        <x:v>准备性能与录制输入</x:v>
      </x:c>
      <x:c r="F21" s="15" t="str">
        <x:v>提供3份真实20页文本PDF及来源/哈希；录制用单文档、跨文档、扫描降级各一组。</x:v>
      </x:c>
      <x:c r="G21" s="15" t="str">
        <x:v>Z2</x:v>
      </x:c>
      <x:c r="H21" s="18" t="str">
        <x:v>待认领</x:v>
      </x:c>
      <x:c r="I21" s="18" t="str"/>
      <x:c r="J21" s="15" t="n">
        <x:f>IF(AND(H21="已验收",LEN(I21)&gt;0),1,0)</x:f>
        <x:v>0</x:v>
      </x:c>
    </x:row>
    <x:row r="22" ht="72" customHeight="1">
      <x:c r="A22" s="12" t="str">
        <x:v>F2</x:v>
      </x:c>
      <x:c r="B22" s="13" t="n">
        <x:v>46309.791666666664</x:v>
      </x:c>
      <x:c r="C22" s="14" t="str">
        <x:v>方轩诚</x:v>
      </x:c>
      <x:c r="D22" s="12" t="str">
        <x:v>宗、魏</x:v>
      </x:c>
      <x:c r="E22" s="12" t="str">
        <x:v>交叉验收规则与评分器</x:v>
      </x:c>
      <x:c r="F22" s="12" t="str">
        <x:v>正式入口24/24、算术18/18；对评分器反例不能再满分；失败逐条留记录。</x:v>
      </x:c>
      <x:c r="G22" s="12" t="str">
        <x:v>R1、W3</x:v>
      </x:c>
      <x:c r="H22" s="18" t="str">
        <x:v>待认领</x:v>
      </x:c>
      <x:c r="I22" s="18" t="str"/>
      <x:c r="J22" s="12" t="n">
        <x:f>IF(AND(H22="已验收",LEN(I22)&gt;0),1,0)</x:f>
        <x:v>0</x:v>
      </x:c>
    </x:row>
    <x:row r="23" ht="72" customHeight="1">
      <x:c r="A23" s="15" t="str">
        <x:v>G1</x:v>
      </x:c>
      <x:c r="B23" s="16" t="n">
        <x:v>46309.833333333336</x:v>
      </x:c>
      <x:c r="C23" s="17" t="str">
        <x:v>魏文宇</x:v>
      </x:c>
      <x:c r="D23" s="15" t="str">
        <x:v>全员</x:v>
      </x:c>
      <x:c r="E23" s="15" t="str">
        <x:v>合入修复并固定候选SHA</x:v>
      </x:c>
      <x:c r="F23" s="15" t="str">
        <x:v>收齐运行/规则/页面/评分改动；必修缺陷关单；六道门通过，记录剩余边界。</x:v>
      </x:c>
      <x:c r="G23" s="15" t="str">
        <x:v>W1-W3、C2、R1、F2</x:v>
      </x:c>
      <x:c r="H23" s="18" t="str">
        <x:v>待认领</x:v>
      </x:c>
      <x:c r="I23" s="18" t="str"/>
      <x:c r="J23" s="15" t="n">
        <x:f>IF(AND(H23="已验收",LEN(I23)&gt;0),1,0)</x:f>
        <x:v>0</x:v>
      </x:c>
    </x:row>
    <x:row r="24" ht="72" customHeight="1">
      <x:c r="A24" s="12" t="str">
        <x:v>V0</x:v>
      </x:c>
      <x:c r="B24" s="13" t="n">
        <x:v>46309.854166666664</x:v>
      </x:c>
      <x:c r="C24" s="14" t="str">
        <x:v>陈家浩</x:v>
      </x:c>
      <x:c r="D24" s="12" t="str">
        <x:v>方操作，宗核对</x:v>
      </x:c>
      <x:c r="E24" s="12" t="str">
        <x:v>录60秒试片并准备讲稿</x:v>
      </x:c>
      <x:c r="F24" s="12" t="str">
        <x:v>录下真实操作，验证画面/收音/中文清晰；选定4–5分钟分镜与讲解人；当晚发现录制问题。</x:v>
      </x:c>
      <x:c r="G24" s="12" t="str">
        <x:v>C1、G1</x:v>
      </x:c>
      <x:c r="H24" s="18" t="str">
        <x:v>待认领</x:v>
      </x:c>
      <x:c r="I24" s="18" t="str"/>
      <x:c r="J24" s="12" t="n">
        <x:f>IF(AND(H24="已验收",LEN(I24)&gt;0),1,0)</x:f>
        <x:v>0</x:v>
      </x:c>
    </x:row>
    <x:row r="25" ht="72" customHeight="1">
      <x:c r="A25" s="15" t="str">
        <x:v>R3</x:v>
      </x:c>
      <x:c r="B25" s="16" t="n">
        <x:v>46309.875</x:v>
      </x:c>
      <x:c r="C25" s="17" t="str">
        <x:v>宗博文</x:v>
      </x:c>
      <x:c r="D25" s="15" t="str">
        <x:v>魏、张</x:v>
      </x:c>
      <x:c r="E25" s="15" t="str">
        <x:v>启动固定版本的正式补测</x:v>
      </x:c>
      <x:c r="F25" s="15" t="str">
        <x:v>先完成独立首测并锁原始结果，再执行三轮清缓存；任何修代码触发受影响项目重测。</x:v>
      </x:c>
      <x:c r="G25" s="15" t="str">
        <x:v>G1、R2、Z3</x:v>
      </x:c>
      <x:c r="H25" s="18" t="str">
        <x:v>待认领</x:v>
      </x:c>
      <x:c r="I25" s="18" t="str"/>
      <x:c r="J25" s="15" t="n">
        <x:f>IF(AND(H25="已验收",LEN(I25)&gt;0),1,0)</x:f>
        <x:v>0</x:v>
      </x:c>
    </x:row>
    <x:row r="26" ht="72" customHeight="1">
      <x:c r="A26" s="12" t="str">
        <x:v>R4</x:v>
      </x:c>
      <x:c r="B26" s="13" t="n">
        <x:v>46310.479166666664</x:v>
      </x:c>
      <x:c r="C26" s="14" t="str">
        <x:v>宗博文</x:v>
      </x:c>
      <x:c r="D26" s="12" t="str">
        <x:v>魏、张</x:v>
      </x:c>
      <x:c r="E26" s="12" t="str">
        <x:v>完成验收成绩与失败清单</x:v>
      </x:c>
      <x:c r="F26" s="12" t="str">
        <x:v>30单文档+20组独立结果；10份×3次冷跑；3份真实20页PDF全程计时；逐项对原目标出数。</x:v>
      </x:c>
      <x:c r="G26" s="12" t="str">
        <x:v>R3</x:v>
      </x:c>
      <x:c r="H26" s="18" t="str">
        <x:v>待认领</x:v>
      </x:c>
      <x:c r="I26" s="18" t="str"/>
      <x:c r="J26" s="12" t="n">
        <x:f>IF(AND(H26="已验收",LEN(I26)&gt;0),1,0)</x:f>
        <x:v>0</x:v>
      </x:c>
    </x:row>
    <x:row r="27" ht="72" customHeight="1">
      <x:c r="A27" s="15" t="str">
        <x:v>C3</x:v>
      </x:c>
      <x:c r="B27" s="16" t="n">
        <x:v>46310.479166666664</x:v>
      </x:c>
      <x:c r="C27" s="17" t="str">
        <x:v>陈家浩</x:v>
      </x:c>
      <x:c r="D27" s="15" t="str">
        <x:v>魏、宗</x:v>
      </x:c>
      <x:c r="E27" s="15" t="str">
        <x:v>补Web与CLI独立对照</x:v>
      </x:c>
      <x:c r="F27" s="15" t="str">
        <x:v>同一输入SHA、候选版本和配置两端各执行；保存字段diff、导出与日志，缓存单列。</x:v>
      </x:c>
      <x:c r="G27" s="15" t="str">
        <x:v>G1、R2</x:v>
      </x:c>
      <x:c r="H27" s="18" t="str">
        <x:v>待认领</x:v>
      </x:c>
      <x:c r="I27" s="18" t="str"/>
      <x:c r="J27" s="15" t="n">
        <x:f>IF(AND(H27="已验收",LEN(I27)&gt;0),1,0)</x:f>
        <x:v>0</x:v>
      </x:c>
    </x:row>
    <x:row r="28" ht="72" customHeight="1">
      <x:c r="A28" s="12" t="str">
        <x:v>Z4</x:v>
      </x:c>
      <x:c r="B28" s="13" t="n">
        <x:v>46310.479166666664</x:v>
      </x:c>
      <x:c r="C28" s="14" t="str">
        <x:v>张智博</x:v>
      </x:c>
      <x:c r="D28" s="12" t="str">
        <x:v>方轩诚操作</x:v>
      </x:c>
      <x:c r="E28" s="12" t="str">
        <x:v>完成另一台机器冷启动</x:v>
      </x:c>
      <x:c r="F28" s="12" t="str">
        <x:v>由方按说明启动并完成输入→结果→出处→导出；路径/依赖/密钥说明完整。</x:v>
      </x:c>
      <x:c r="G28" s="12" t="str">
        <x:v>G1、Z2</x:v>
      </x:c>
      <x:c r="H28" s="18" t="str">
        <x:v>待认领</x:v>
      </x:c>
      <x:c r="I28" s="18" t="str"/>
      <x:c r="J28" s="12" t="n">
        <x:f>IF(AND(H28="已验收",LEN(I28)&gt;0),1,0)</x:f>
        <x:v>0</x:v>
      </x:c>
    </x:row>
    <x:row r="29" ht="72" customHeight="1">
      <x:c r="A29" s="15" t="str">
        <x:v>M1</x:v>
      </x:c>
      <x:c r="B29" s="16" t="n">
        <x:v>46310.5</x:v>
      </x:c>
      <x:c r="C29" s="17" t="str">
        <x:v>陈家浩</x:v>
      </x:c>
      <x:c r="D29" s="15" t="str">
        <x:v>张、宗</x:v>
      </x:c>
      <x:c r="E29" s="15" t="str">
        <x:v>统一录制脚本与材料口径</x:v>
      </x:c>
      <x:c r="F29" s="15" t="str">
        <x:v>用宗最终分母与成绩；OCR写当前降级/未来规划；预生成、缓存、实时操作清楚标注。</x:v>
      </x:c>
      <x:c r="G29" s="15" t="str">
        <x:v>R4、C3、Z4、V0</x:v>
      </x:c>
      <x:c r="H29" s="18" t="str">
        <x:v>待认领</x:v>
      </x:c>
      <x:c r="I29" s="18" t="str"/>
      <x:c r="J29" s="15" t="n">
        <x:f>IF(AND(H29="已验收",LEN(I29)&gt;0),1,0)</x:f>
        <x:v>0</x:v>
      </x:c>
    </x:row>
    <x:row r="30" ht="72" customHeight="1">
      <x:c r="A30" s="12" t="str">
        <x:v>G2</x:v>
      </x:c>
      <x:c r="B30" s="13" t="n">
        <x:v>46310.5</x:v>
      </x:c>
      <x:c r="C30" s="14" t="str">
        <x:v>魏文宇</x:v>
      </x:c>
      <x:c r="D30" s="12" t="str">
        <x:v>宗验收，全员确认</x:v>
      </x:c>
      <x:c r="E30" s="12" t="str">
        <x:v>冻结录制与交付版本</x:v>
      </x:c>
      <x:c r="F30" s="12" t="str">
        <x:v>核对可用性和高风险缺陷；固定源码/数据/模型/配置；之后只接阻断问题，变更需重测补录。</x:v>
      </x:c>
      <x:c r="G30" s="12" t="str">
        <x:v>R4、C3、Z4</x:v>
      </x:c>
      <x:c r="H30" s="18" t="str">
        <x:v>待认领</x:v>
      </x:c>
      <x:c r="I30" s="18" t="str"/>
      <x:c r="J30" s="12" t="n">
        <x:f>IF(AND(H30="已验收",LEN(I30)&gt;0),1,0)</x:f>
        <x:v>0</x:v>
      </x:c>
    </x:row>
    <x:row r="31" ht="72" customHeight="1">
      <x:c r="A31" s="15" t="str">
        <x:v>V1</x:v>
      </x:c>
      <x:c r="B31" s="16" t="n">
        <x:v>46310.604166666664</x:v>
      </x:c>
      <x:c r="C31" s="17" t="str">
        <x:v>陈家浩</x:v>
      </x:c>
      <x:c r="D31" s="15" t="str">
        <x:v>魏讲解，方操作</x:v>
      </x:c>
      <x:c r="E31" s="15" t="str">
        <x:v>录制完整MP4初稿</x:v>
      </x:c>
      <x:c r="F31" s="15" t="str">
        <x:v>同一候选版本录屏；展示实际输入、字段、出处、跨文档和失败边界；保留原始录屏。</x:v>
      </x:c>
      <x:c r="G31" s="15" t="str">
        <x:v>G2、M1</x:v>
      </x:c>
      <x:c r="H31" s="18" t="str">
        <x:v>待认领</x:v>
      </x:c>
      <x:c r="I31" s="18" t="str"/>
      <x:c r="J31" s="15" t="n">
        <x:f>IF(AND(H31="已验收",LEN(I31)&gt;0),1,0)</x:f>
        <x:v>0</x:v>
      </x:c>
    </x:row>
    <x:row r="32" ht="72" customHeight="1">
      <x:c r="A32" s="12" t="str">
        <x:v>V2</x:v>
      </x:c>
      <x:c r="B32" s="13" t="n">
        <x:v>46310.645833333336</x:v>
      </x:c>
      <x:c r="C32" s="14" t="str">
        <x:v>宗博文</x:v>
      </x:c>
      <x:c r="D32" s="12" t="str">
        <x:v>张、方</x:v>
      </x:c>
      <x:c r="E32" s="12" t="str">
        <x:v>完整审片与事实核对</x:v>
      </x:c>
      <x:c r="F32" s="12" t="str">
        <x:v>逐秒看完，检查演示与成绩/字幕一致、无秘密信息、声音清楚、没有把回放说成实时。</x:v>
      </x:c>
      <x:c r="G32" s="12" t="str">
        <x:v>V1</x:v>
      </x:c>
      <x:c r="H32" s="18" t="str">
        <x:v>待认领</x:v>
      </x:c>
      <x:c r="I32" s="18" t="str"/>
      <x:c r="J32" s="12" t="n">
        <x:f>IF(AND(H32="已验收",LEN(I32)&gt;0),1,0)</x:f>
        <x:v>0</x:v>
      </x:c>
    </x:row>
    <x:row r="33" ht="72" customHeight="1">
      <x:c r="A33" s="15" t="str">
        <x:v>V3</x:v>
      </x:c>
      <x:c r="B33" s="16" t="n">
        <x:v>46310.6875</x:v>
      </x:c>
      <x:c r="C33" s="17" t="str">
        <x:v>陈家浩</x:v>
      </x:c>
      <x:c r="D33" s="15" t="str">
        <x:v>魏文宇</x:v>
      </x:c>
      <x:c r="E33" s="15" t="str">
        <x:v>导出最终MP4并验证播放</x:v>
      </x:c>
      <x:c r="F33" s="15" t="str">
        <x:v>按官方规格导出；无另规时建议1080p/30fps/H.264/AAC；两台设备完整播放，检查开头中间结尾和音画。</x:v>
      </x:c>
      <x:c r="G33" s="15" t="str">
        <x:v>V2</x:v>
      </x:c>
      <x:c r="H33" s="18" t="str">
        <x:v>待认领</x:v>
      </x:c>
      <x:c r="I33" s="18" t="str"/>
      <x:c r="J33" s="15" t="n">
        <x:f>IF(AND(H33="已验收",LEN(I33)&gt;0),1,0)</x:f>
        <x:v>0</x:v>
      </x:c>
    </x:row>
    <x:row r="34" ht="72" customHeight="1">
      <x:c r="A34" s="12" t="str">
        <x:v>S1</x:v>
      </x:c>
      <x:c r="B34" s="13" t="n">
        <x:v>46310.729166666664</x:v>
      </x:c>
      <x:c r="C34" s="14" t="str">
        <x:v>魏文宇</x:v>
      </x:c>
      <x:c r="D34" s="12" t="str">
        <x:v>陈验视频，宗验成绩</x:v>
      </x:c>
      <x:c r="E34" s="12" t="str">
        <x:v>交付打包与提交核对</x:v>
      </x:c>
      <x:c r="F34" s="12" t="str">
        <x:v>新标签/提交SHA、源码、启动说明、依赖、样例、评测、材料、MP4及SHA清单；他人解压复跑；保存提交回执。</x:v>
      </x:c>
      <x:c r="G34" s="12" t="str">
        <x:v>G2、V3、R4</x:v>
      </x:c>
      <x:c r="H34" s="18" t="str">
        <x:v>待认领</x:v>
      </x:c>
      <x:c r="I34" s="18" t="str"/>
      <x:c r="J34" s="12" t="n">
        <x:f>IF(AND(H34="已验收",LEN(I34)&gt;0),1,0)</x:f>
        <x:v>0</x:v>
      </x:c>
    </x:row>
    <x:row r="35" ht="3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3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30" customHeight="1">
      <x:c r="A37" s="2" t="str">
        <x:v>30分钟仍卡住就说明问题与所需配合；明天12:00后只修阻断问题，改动必须重测并补录。</x:v>
      </x:c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30" customHeight="1">
      <x:c r="A38" s="2" t="str">
        <x:v>官网部署、新OCR、大规模UI改版暂缓，除非是已核准的提交硬要求。网站仅展示历史结果不等于新输入处理验收通过。</x:v>
      </x:c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3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30" customHeight="1">
      <x:c r="A40" s="2" t="str">
        <x:v>依据：原14天计划；2026-10-14全面检查；用户反馈本地启动后无法正常使用。详细验收与备选路径见配套计划。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</x:sheetData>
  <x:conditionalFormatting sqref="H10:H34">
    <x:cfRule type="containsText" dxfId="0" priority="1" operator="containsText" text="受阻"/>
    <x:cfRule type="containsText" dxfId="1" priority="2" operator="containsText" text="已验收"/>
  </x:conditionalFormatting>
  <x:dataValidations count="1">
    <x:dataValidation type="list" sqref="H10:H34">
      <x:formula1>"待认领,进行中,待验收,已验收,受阻"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E917A"/>
  </x:sheetPr>
  <x:sheetViews>
    <x:sheetView showGridLines="0" workbookViewId="0"/>
  </x:sheetViews>
  <x:sheetFormatPr defaultRowHeight="15"/>
  <x:cols>
    <x:col min="1" max="1" width="13.75" hidden="0" customWidth="1"/>
    <x:col min="2" max="2" width="19.3799991607666" hidden="0" customWidth="1"/>
    <x:col min="3" max="3" width="42.5" hidden="0" customWidth="1"/>
    <x:col min="4" max="4" width="11.880000114440918" hidden="0" customWidth="1"/>
    <x:col min="5" max="5" width="11.880000114440918" hidden="0" customWidth="1"/>
    <x:col min="6" max="6" width="55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MP4录制分镜</x:v>
      </x:c>
      <x:c r="B2" s="2"/>
      <x:c r="C2" s="2"/>
      <x:c r="D2" s="2"/>
      <x:c r="E2" s="2"/>
      <x:c r="F2" s="2"/>
    </x:row>
    <x:row r="3" ht="30" customHeight="1">
      <x:c r="A3" s="2" t="str">
        <x:v>建议4–5分钟，官方要求优先。今天交60秒试片，明天14:30交初稿、16:30交最终视频。</x:v>
      </x:c>
      <x:c r="B3" s="2"/>
      <x:c r="C3" s="2"/>
      <x:c r="D3" s="2"/>
      <x:c r="E3" s="2"/>
      <x:c r="F3" s="2"/>
    </x:row>
    <x:row r="4" ht="30" customHeight="1">
      <x:c r="A4" s="2"/>
      <x:c r="B4" s="2"/>
      <x:c r="C4" s="2"/>
      <x:c r="D4" s="2"/>
      <x:c r="E4" s="2"/>
      <x:c r="F4" s="2"/>
    </x:row>
    <x:row r="5" ht="30" customHeight="1">
      <x:c r="A5" s="8" t="str">
        <x:v>时段</x:v>
      </x:c>
      <x:c r="B5" s="8" t="str">
        <x:v>主题</x:v>
      </x:c>
      <x:c r="C5" s="8" t="str">
        <x:v>实际画面</x:v>
      </x:c>
      <x:c r="D5" s="8" t="str">
        <x:v>讲解</x:v>
      </x:c>
      <x:c r="E5" s="8" t="str">
        <x:v>操作</x:v>
      </x:c>
      <x:c r="F5" s="8" t="str">
        <x:v>核对重点</x:v>
      </x:c>
    </x:row>
    <x:row r="6" ht="66" customHeight="1">
      <x:c r="A6" s="15" t="str">
        <x:v>00:00–00:20</x:v>
      </x:c>
      <x:c r="B6" s="15" t="str">
        <x:v>任务与真实输入</x:v>
      </x:c>
      <x:c r="C6" s="15" t="str">
        <x:v>展示一份公告及核验目的</x:v>
      </x:c>
      <x:c r="D6" s="15" t="str">
        <x:v>魏文宇</x:v>
      </x:c>
      <x:c r="E6" s="15" t="str">
        <x:v>陈家浩</x:v>
      </x:c>
      <x:c r="F6" s="15" t="str">
        <x:v>说清解决什么问题。</x:v>
      </x:c>
    </x:row>
    <x:row r="7" ht="66" customHeight="1">
      <x:c r="A7" s="12" t="str">
        <x:v>00:20–01:35</x:v>
      </x:c>
      <x:c r="B7" s="12" t="str">
        <x:v>单文档处理</x:v>
      </x:c>
      <x:c r="C7" s="12" t="str">
        <x:v>处理公告，展示公司/事件/数量/日期</x:v>
      </x:c>
      <x:c r="D7" s="12" t="str">
        <x:v>魏文宇</x:v>
      </x:c>
      <x:c r="E7" s="12" t="str">
        <x:v>方轩诚</x:v>
      </x:c>
      <x:c r="F7" s="12" t="str">
        <x:v>网页不支持PDF时，展示实际脚本步骤及新产物导入。</x:v>
      </x:c>
    </x:row>
    <x:row r="8" ht="66" customHeight="1">
      <x:c r="A8" s="15" t="str">
        <x:v>01:35–02:15</x:v>
      </x:c>
      <x:c r="B8" s="15" t="str">
        <x:v>点击出处与导出</x:v>
      </x:c>
      <x:c r="C8" s="15" t="str">
        <x:v>点击字段定位原文，再导出JSON/CSV</x:v>
      </x:c>
      <x:c r="D8" s="15" t="str">
        <x:v>魏文宇</x:v>
      </x:c>
      <x:c r="E8" s="15" t="str">
        <x:v>方轩诚</x:v>
      </x:c>
      <x:c r="F8" s="15" t="str">
        <x:v>必须能看到来源对应，不能只念字段表。</x:v>
      </x:c>
    </x:row>
    <x:row r="9" ht="66" customHeight="1">
      <x:c r="A9" s="12" t="str">
        <x:v>02:15–03:20</x:v>
      </x:c>
      <x:c r="B9" s="12" t="str">
        <x:v>跨文档核验</x:v>
      </x:c>
      <x:c r="C9" s="12" t="str">
        <x:v>一个可解释差异及一个真实/受控冲突候选</x:v>
      </x:c>
      <x:c r="D9" s="12" t="str">
        <x:v>魏文宇</x:v>
      </x:c>
      <x:c r="E9" s="12" t="str">
        <x:v>方轩诚</x:v>
      </x:c>
      <x:c r="F9" s="12" t="str">
        <x:v>受控样本标明受控，展示依据和必要计算。</x:v>
      </x:c>
    </x:row>
    <x:row r="10" ht="66" customHeight="1">
      <x:c r="A10" s="15" t="str">
        <x:v>03:20–03:50</x:v>
      </x:c>
      <x:c r="B10" s="15" t="str">
        <x:v>失败与降级</x:v>
      </x:c>
      <x:c r="C10" s="15" t="str">
        <x:v>展示扫描unreadable或坏输入不会拖垮流程</x:v>
      </x:c>
      <x:c r="D10" s="15" t="str">
        <x:v>魏文宇</x:v>
      </x:c>
      <x:c r="E10" s="15" t="str">
        <x:v>方轩诚</x:v>
      </x:c>
      <x:c r="F10" s="15" t="str">
        <x:v>说明扫描降级边界；未实现的OCR不作已实现展示。</x:v>
      </x:c>
    </x:row>
    <x:row r="11" ht="66" customHeight="1">
      <x:c r="A11" s="12" t="str">
        <x:v>03:50–04:30</x:v>
      </x:c>
      <x:c r="B11" s="12" t="str">
        <x:v>结果与交付</x:v>
      </x:c>
      <x:c r="C11" s="12" t="str">
        <x:v>给出带分母成绩、未测项、固定版本与启动入口</x:v>
      </x:c>
      <x:c r="D11" s="12" t="str">
        <x:v>魏文宇</x:v>
      </x:c>
      <x:c r="E11" s="12" t="str">
        <x:v>陈家浩</x:v>
      </x:c>
      <x:c r="F11" s="12" t="str">
        <x:v>只引用冻结版本的实际结果，不能预写100%。</x:v>
      </x:c>
    </x:row>
    <x:row r="12" ht="30" customHeight="1">
      <x:c r="A12" s="2"/>
      <x:c r="B12" s="2"/>
      <x:c r="C12" s="2"/>
      <x:c r="D12" s="2"/>
      <x:c r="E12" s="2"/>
      <x:c r="F12" s="2"/>
    </x:row>
    <x:row r="13" ht="30" customHeight="1">
      <x:c r="A13" s="2" t="str">
        <x:v>成片责任：陈家浩。魏讲解、方操作、宗完整审片、张核对解析与出处。录屏使用本地可用工具。</x:v>
      </x:c>
      <x:c r="B13" s="2"/>
      <x:c r="C13" s="2"/>
      <x:c r="D13" s="2"/>
      <x:c r="E13" s="2"/>
      <x:c r="F13" s="2"/>
    </x:row>
    <x:row r="14" ht="30" customHeight="1">
      <x:c r="A14" s="2" t="str">
        <x:v>无另规时建议1080p、30fps、H.264视频、AAC音频。两台设备完整播放后确认最终文件SHA。</x:v>
      </x:c>
      <x:c r="B14" s="2"/>
      <x:c r="C14" s="2"/>
      <x:c r="D14" s="2"/>
      <x:c r="E14" s="2"/>
      <x:c r="F14" s="2"/>
    </x:row>
    <x:row r="15" ht="30" customHeight="1">
      <x:c r="A15" s="2" t="str">
        <x:v>等待可剪短并标注；保留原录屏。预生成/缓存/受控样例清楚标注，不以剪辑替代未实现功能。</x:v>
      </x:c>
      <x:c r="B15" s="2"/>
      <x:c r="C15" s="2"/>
      <x:c r="D15" s="2"/>
      <x:c r="E15" s="2"/>
      <x:c r="F15" s="2"/>
    </x:row>
    <x:row r="16" ht="30" customHeight="1">
      <x:c r="A16" s="2" t="str">
        <x:v>先隐藏密钥和私人窗口。冻结后改代码、规则或输入，重测并补录相关片段。</x:v>
      </x:c>
      <x:c r="B16" s="2"/>
      <x:c r="C16" s="2"/>
      <x:c r="D16" s="2"/>
      <x:c r="E16" s="2"/>
      <x:c r="F16" s="2"/>
    </x:row>
    <x:row r="17" ht="30" customHeight="1">
      <x:c r="A17" s="2"/>
      <x:c r="B17" s="2"/>
      <x:c r="C17" s="2"/>
      <x:c r="D17" s="2"/>
      <x:c r="E17" s="2"/>
      <x:c r="F17" s="2"/>
    </x:row>
    <x:row r="18" ht="30" customHeight="1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